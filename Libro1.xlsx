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xr:revisionPtr revIDLastSave="0" documentId="8_{E6B2C4B9-642C-46B4-92BE-F30CB960EA4F}" xr6:coauthVersionLast="47" xr6:coauthVersionMax="47" xr10:uidLastSave="{00000000-0000-0000-0000-000000000000}"/>
  <bookViews>
    <workbookView xWindow="-120" yWindow="-120" windowWidth="29040" windowHeight="15720" xr2:uid="{EE3F0983-2C2B-4D45-AE3B-6575369603D0}"/>
  </bookViews>
  <sheets>
    <sheet name="CUADRO" sheetId="1" r:id="rId1"/>
  </sheets>
  <definedNames>
    <definedName name="_xlnm._FilterDatabase" localSheetId="0" hidden="1">CUADRO!$B$5:$AB$27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29" i="1" l="1"/>
  <c r="W27" i="1"/>
  <c r="W31" i="1" s="1"/>
  <c r="U27" i="1"/>
  <c r="U31" i="1" s="1"/>
  <c r="K27" i="1"/>
  <c r="K31" i="1" s="1"/>
  <c r="I27" i="1"/>
  <c r="I31" i="1" s="1"/>
  <c r="AB26" i="1"/>
  <c r="AA27" i="1" s="1"/>
  <c r="AA31" i="1" s="1"/>
  <c r="AA26" i="1"/>
  <c r="Z26" i="1"/>
  <c r="Y26" i="1"/>
  <c r="Y27" i="1" s="1"/>
  <c r="Y31" i="1" s="1"/>
  <c r="X26" i="1"/>
  <c r="W26" i="1"/>
  <c r="V26" i="1"/>
  <c r="U26" i="1"/>
  <c r="T26" i="1"/>
  <c r="S26" i="1"/>
  <c r="S27" i="1" s="1"/>
  <c r="S31" i="1" s="1"/>
  <c r="R26" i="1"/>
  <c r="Q26" i="1"/>
  <c r="Q27" i="1" s="1"/>
  <c r="Q31" i="1" s="1"/>
  <c r="P26" i="1"/>
  <c r="O27" i="1" s="1"/>
  <c r="O31" i="1" s="1"/>
  <c r="O26" i="1"/>
  <c r="N26" i="1"/>
  <c r="M26" i="1"/>
  <c r="M27" i="1" s="1"/>
  <c r="M31" i="1" s="1"/>
  <c r="L26" i="1"/>
  <c r="K26" i="1"/>
  <c r="J26" i="1"/>
  <c r="I26" i="1"/>
  <c r="H26" i="1"/>
  <c r="G26" i="1"/>
  <c r="G27" i="1" s="1"/>
  <c r="G31" i="1" s="1"/>
  <c r="F26" i="1"/>
  <c r="E31" i="1" s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C31" i="1" l="1"/>
  <c r="E27" i="1"/>
  <c r="D33" i="1" s="1"/>
  <c r="C33" i="1" l="1"/>
  <c r="C35" i="1" s="1"/>
</calcChain>
</file>

<file path=xl/sharedStrings.xml><?xml version="1.0" encoding="utf-8"?>
<sst xmlns="http://schemas.openxmlformats.org/spreadsheetml/2006/main" count="61" uniqueCount="42">
  <si>
    <t>COMPARTIR CONTROL PRESUPUESTAL - ALMACEN-LOGISTICA</t>
  </si>
  <si>
    <t>CUMPL.</t>
  </si>
  <si>
    <t>CELULAR</t>
  </si>
  <si>
    <t>CLIENTE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</si>
  <si>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</si>
  <si>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</si>
  <si>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</si>
  <si>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</si>
  <si>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</si>
  <si>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</si>
  <si>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</si>
  <si>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</si>
  <si>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</si>
  <si>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</si>
  <si>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</si>
  <si>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</si>
  <si>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ANDRES VASQUEZ</t>
  </si>
  <si>
    <t>X</t>
  </si>
  <si>
    <t>HUBER PACHECO</t>
  </si>
  <si>
    <t>ALEXANDER OSPINA COND.</t>
  </si>
  <si>
    <t>ANGEL CISNEROS</t>
  </si>
  <si>
    <t>OSCAR AGUDELO</t>
  </si>
  <si>
    <t>ANDRES SANABRIA</t>
  </si>
  <si>
    <t>ALVARO CERON</t>
  </si>
  <si>
    <t>MARLON DAGUA ALM.</t>
  </si>
  <si>
    <t>EDWAR ZAPATA</t>
  </si>
  <si>
    <t>DALIA KARINA CASTILLO</t>
  </si>
  <si>
    <t>FIDEL QUIÑONEZ</t>
  </si>
  <si>
    <t>DANIEL UNDA</t>
  </si>
  <si>
    <t>CARLOS GUZMAN</t>
  </si>
  <si>
    <t>ANDRES TORRES</t>
  </si>
  <si>
    <t>MAURICIO VANEGAS</t>
  </si>
  <si>
    <t>ANNY SULGEY IPIA</t>
  </si>
  <si>
    <t>CARLOS SANCHEZ</t>
  </si>
  <si>
    <t>ALAN DUVAN TROCHEZ</t>
  </si>
  <si>
    <t>FABIAN RODRIGUEZ</t>
  </si>
  <si>
    <t>ALEXANDER MARIN JEFE ALM.</t>
  </si>
  <si>
    <t>TOTAL</t>
  </si>
  <si>
    <t>GASTO</t>
  </si>
  <si>
    <t>GASTOS</t>
  </si>
  <si>
    <t>SALDO MES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</si>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</sst>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000\ 000\ 00\ 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46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64" fontId="4" fillId="5" borderId="0" xfId="1" applyNumberFormat="1" applyFont="1" applyFill="1" applyAlignment="1">
      <alignment horizontal="center" vertical="center"/>
    </xf>
    <xf numFmtId="164" fontId="4" fillId="5" borderId="1" xfId="1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16" fontId="3" fillId="0" borderId="3" xfId="0" applyNumberFormat="1" applyFont="1" applyBorder="1"/>
    <xf numFmtId="165" fontId="3" fillId="0" borderId="4" xfId="0" applyNumberFormat="1" applyFont="1" applyBorder="1" applyAlignment="1">
      <alignment horizontal="center"/>
    </xf>
    <xf numFmtId="0" fontId="5" fillId="0" borderId="4" xfId="0" applyFont="1" applyBorder="1"/>
    <xf numFmtId="164" fontId="3" fillId="3" borderId="3" xfId="1" applyNumberFormat="1" applyFont="1" applyFill="1" applyBorder="1" applyAlignment="1">
      <alignment horizontal="center"/>
    </xf>
    <xf numFmtId="164" fontId="3" fillId="4" borderId="3" xfId="1" applyNumberFormat="1" applyFont="1" applyFill="1" applyBorder="1" applyAlignment="1">
      <alignment horizontal="center"/>
    </xf>
    <xf numFmtId="164" fontId="3" fillId="9" borderId="3" xfId="1" applyNumberFormat="1" applyFont="1" applyFill="1" applyBorder="1" applyAlignment="1">
      <alignment horizontal="center"/>
    </xf>
    <xf numFmtId="165" fontId="3" fillId="0" borderId="3" xfId="0" applyNumberFormat="1" applyFont="1" applyBorder="1" applyAlignment="1">
      <alignment horizontal="center"/>
    </xf>
    <xf numFmtId="0" fontId="5" fillId="0" borderId="3" xfId="0" applyFont="1" applyBorder="1"/>
    <xf numFmtId="0" fontId="3" fillId="6" borderId="0" xfId="0" applyFont="1" applyFill="1" applyAlignment="1">
      <alignment horizontal="right"/>
    </xf>
    <xf numFmtId="164" fontId="3" fillId="3" borderId="3" xfId="0" applyNumberFormat="1" applyFont="1" applyFill="1" applyBorder="1" applyAlignment="1">
      <alignment horizontal="center"/>
    </xf>
    <xf numFmtId="164" fontId="3" fillId="4" borderId="3" xfId="0" applyNumberFormat="1" applyFont="1" applyFill="1" applyBorder="1" applyAlignment="1">
      <alignment horizontal="center"/>
    </xf>
    <xf numFmtId="164" fontId="3" fillId="0" borderId="3" xfId="1" applyNumberFormat="1" applyFont="1" applyBorder="1" applyAlignment="1">
      <alignment horizontal="center"/>
    </xf>
    <xf numFmtId="42" fontId="3" fillId="0" borderId="3" xfId="2" applyFont="1" applyBorder="1" applyAlignment="1">
      <alignment horizontal="center"/>
    </xf>
    <xf numFmtId="0" fontId="3" fillId="8" borderId="3" xfId="0" applyFont="1" applyFill="1" applyBorder="1"/>
    <xf numFmtId="164" fontId="3" fillId="8" borderId="4" xfId="1" applyNumberFormat="1" applyFont="1" applyFill="1" applyBorder="1" applyAlignment="1">
      <alignment horizontal="center"/>
    </xf>
    <xf numFmtId="164" fontId="3" fillId="8" borderId="2" xfId="1" applyNumberFormat="1" applyFont="1" applyFill="1" applyBorder="1" applyAlignment="1">
      <alignment horizontal="center"/>
    </xf>
    <xf numFmtId="164" fontId="3" fillId="4" borderId="4" xfId="1" applyNumberFormat="1" applyFont="1" applyFill="1" applyBorder="1" applyAlignment="1">
      <alignment horizontal="center"/>
    </xf>
    <xf numFmtId="164" fontId="3" fillId="4" borderId="2" xfId="1" applyNumberFormat="1" applyFont="1" applyFill="1" applyBorder="1" applyAlignment="1">
      <alignment horizontal="center"/>
    </xf>
    <xf numFmtId="164" fontId="3" fillId="4" borderId="5" xfId="1" applyNumberFormat="1" applyFont="1" applyFill="1" applyBorder="1" applyAlignment="1">
      <alignment horizontal="center"/>
    </xf>
    <xf numFmtId="164" fontId="3" fillId="0" borderId="6" xfId="0" applyNumberFormat="1" applyFont="1" applyBorder="1"/>
    <xf numFmtId="0" fontId="3" fillId="10" borderId="6" xfId="0" applyFont="1" applyFill="1" applyBorder="1" applyAlignment="1">
      <alignment horizontal="center"/>
    </xf>
    <xf numFmtId="0" fontId="3" fillId="0" borderId="2" xfId="0" applyFont="1" applyBorder="1"/>
    <xf numFmtId="164" fontId="3" fillId="7" borderId="3" xfId="0" applyNumberFormat="1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164" fontId="3" fillId="11" borderId="6" xfId="0" applyNumberFormat="1" applyFont="1" applyFill="1" applyBorder="1" applyAlignment="1">
      <alignment horizontal="center" vertical="center"/>
    </xf>
    <xf numFmtId="164" fontId="2" fillId="2" borderId="6" xfId="3" applyNumberFormat="1" applyBorder="1" applyAlignment="1">
      <alignment vertical="center"/>
    </xf>
    <xf numFmtId="0" fontId="6" fillId="0" borderId="0" xfId="0" applyFont="1" applyAlignment="1">
      <alignment horizontal="center" vertical="center"/>
    </xf>
    <xf numFmtId="164" fontId="3" fillId="12" borderId="7" xfId="0" applyNumberFormat="1" applyFont="1" applyFill="1" applyBorder="1" applyAlignment="1">
      <alignment horizontal="center"/>
    </xf>
    <xf numFmtId="0" fontId="3" fillId="12" borderId="8" xfId="0" applyFont="1" applyFill="1" applyBorder="1" applyAlignment="1">
      <alignment horizontal="center"/>
    </xf>
  </cellXfs>
  <cellStyles count="4">
    <cellStyle name="Bueno" xfId="3" builtinId="26"/>
    <cellStyle name="Moneda" xfId="1" builtinId="4"/>
    <cellStyle name="Moneda [0]" xfId="2" builtinId="7"/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59211-96CC-48DE-AA56-20FC1413E3D5}">
  <dimension ref="A1:AC332"/>
  <sheetViews>
    <sheetView tabSelected="1" zoomScale="150" zoomScaleNormal="150" workbookViewId="0">
      <pane xSplit="4" topLeftCell="E1" activePane="topRight" state="frozen"/>
      <selection pane="topRight" activeCell="D17" sqref="D17"/>
    </sheetView>
  </sheetViews>
  <sheetFormatPr baseColWidth="10" defaultRowHeight="11.25" x14ac:dyDescent="0.2"/>
  <cols>
    <col min="1" max="1" width="5.85546875" style="1" customWidth="1"/>
    <col min="2" max="2" width="7.42578125" style="2" customWidth="1"/>
    <col min="3" max="3" width="13.140625" style="1" customWidth="1"/>
    <col min="4" max="4" width="19.85546875" style="2" customWidth="1"/>
    <col min="5" max="5" width="7.42578125" style="3" customWidth="1"/>
    <col min="6" max="6" width="8.140625" style="4" customWidth="1"/>
    <col min="7" max="7" width="9.28515625" style="3" customWidth="1"/>
    <col min="8" max="8" width="8" style="4" customWidth="1"/>
    <col min="9" max="9" width="7.42578125" style="3" customWidth="1"/>
    <col min="10" max="10" width="7.42578125" style="4" customWidth="1"/>
    <col min="11" max="11" width="7.42578125" style="3" customWidth="1"/>
    <col min="12" max="12" width="7.42578125" style="4" customWidth="1"/>
    <col min="13" max="13" width="7.42578125" style="3" customWidth="1"/>
    <col min="14" max="14" width="7.42578125" style="4" customWidth="1"/>
    <col min="15" max="15" width="7.42578125" style="3" customWidth="1"/>
    <col min="16" max="16" width="7.42578125" style="4" customWidth="1"/>
    <col min="17" max="17" width="7.42578125" style="3" customWidth="1"/>
    <col min="18" max="18" width="7.42578125" style="4" customWidth="1"/>
    <col min="19" max="19" width="7.42578125" style="3" customWidth="1"/>
    <col min="20" max="20" width="7.42578125" style="4" customWidth="1"/>
    <col min="21" max="21" width="7.42578125" style="3" customWidth="1"/>
    <col min="22" max="22" width="7.42578125" style="4" customWidth="1"/>
    <col min="23" max="23" width="7.42578125" style="3" customWidth="1"/>
    <col min="24" max="24" width="7.42578125" style="4" customWidth="1"/>
    <col min="25" max="25" width="7.42578125" style="3" customWidth="1"/>
    <col min="26" max="26" width="7.42578125" style="4" customWidth="1"/>
    <col min="27" max="27" width="7.42578125" style="3" customWidth="1"/>
    <col min="28" max="28" width="7.42578125" style="4" customWidth="1"/>
    <col min="29" max="16384" width="11.42578125" style="2"/>
  </cols>
  <sheetData>
    <row r="1" spans="1:28" ht="5.25" customHeight="1" x14ac:dyDescent="0.2"/>
    <row r="2" spans="1:28" ht="17.25" customHeight="1" x14ac:dyDescent="0.2">
      <c r="B2" s="5">
        <v>10000</v>
      </c>
      <c r="C2" s="5"/>
      <c r="D2" s="6"/>
      <c r="E2" s="7" t="s">
        <v>0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ht="3" customHeight="1" x14ac:dyDescent="0.2"/>
    <row r="4" spans="1:28" s="10" customFormat="1" ht="8.25" customHeight="1" x14ac:dyDescent="0.25">
      <c r="A4" s="9"/>
      <c r="C4" s="9"/>
      <c r="E4" s="11">
        <v>5</v>
      </c>
      <c r="F4" s="12">
        <v>20</v>
      </c>
      <c r="G4" s="11">
        <v>5</v>
      </c>
      <c r="H4" s="12">
        <v>20</v>
      </c>
      <c r="I4" s="11">
        <v>5</v>
      </c>
      <c r="J4" s="12">
        <v>20</v>
      </c>
      <c r="K4" s="11">
        <v>5</v>
      </c>
      <c r="L4" s="12">
        <v>20</v>
      </c>
      <c r="M4" s="11">
        <v>5</v>
      </c>
      <c r="N4" s="12">
        <v>20</v>
      </c>
      <c r="O4" s="11">
        <v>5</v>
      </c>
      <c r="P4" s="12">
        <v>20</v>
      </c>
      <c r="Q4" s="11">
        <v>5</v>
      </c>
      <c r="R4" s="12">
        <v>20</v>
      </c>
      <c r="S4" s="11">
        <v>5</v>
      </c>
      <c r="T4" s="12">
        <v>20</v>
      </c>
      <c r="U4" s="11">
        <v>5</v>
      </c>
      <c r="V4" s="12">
        <v>20</v>
      </c>
      <c r="W4" s="11">
        <v>5</v>
      </c>
      <c r="X4" s="12">
        <v>20</v>
      </c>
      <c r="Y4" s="11">
        <v>5</v>
      </c>
      <c r="Z4" s="12">
        <v>20</v>
      </c>
      <c r="AA4" s="11">
        <v>5</v>
      </c>
      <c r="AB4" s="12">
        <v>20</v>
      </c>
    </row>
    <row r="5" spans="1:28" x14ac:dyDescent="0.2">
      <c r="B5" s="13" t="s">
        <v>1</v>
      </c>
      <c r="C5" s="14" t="s">
        <v>2</v>
      </c>
      <c r="D5" s="14" t="s">
        <v>3</v>
      </c>
      <c r="E5" s="15" t="s">
        <v>4</v>
      </c>
      <c r="F5" s="15"/>
      <c r="G5" s="16" t="s">
        <v>5</v>
      </c>
      <c r="H5" s="16"/>
      <c r="I5" s="15" t="s">
        <v>6</v>
      </c>
      <c r="J5" s="15"/>
      <c r="K5" s="16" t="s">
        <v>7</v>
      </c>
      <c r="L5" s="16"/>
      <c r="M5" s="15" t="s">
        <v>8</v>
      </c>
      <c r="N5" s="15"/>
      <c r="O5" s="16" t="s">
        <v>9</v>
      </c>
      <c r="P5" s="16"/>
      <c r="Q5" s="15" t="s">
        <v>10</v>
      </c>
      <c r="R5" s="15"/>
      <c r="S5" s="16" t="s">
        <v>11</v>
      </c>
      <c r="T5" s="16"/>
      <c r="U5" s="15" t="s">
        <v>12</v>
      </c>
      <c r="V5" s="15"/>
      <c r="W5" s="16" t="s">
        <v>13</v>
      </c>
      <c r="X5" s="16"/>
      <c r="Y5" s="15" t="s">
        <v>14</v>
      </c>
      <c r="Z5" s="15"/>
      <c r="AA5" s="16" t="s">
        <v>15</v>
      </c>
      <c r="AB5" s="16"/>
    </row>
    <row r="6" spans="1:28" x14ac:dyDescent="0.2">
      <c r="A6" s="1">
        <f>ROW(C6)-5</f>
        <v>1</v>
      </c>
      <c r="B6" s="17">
        <v>46110</v>
      </c>
      <c r="C6" s="18">
        <v>3183845272</v>
      </c>
      <c r="D6" s="19" t="s">
        <v>16</v>
      </c>
      <c r="E6" s="20" t="s">
        <v>17</v>
      </c>
      <c r="F6" s="21">
        <v>10000</v>
      </c>
      <c r="G6" s="20">
        <v>10000</v>
      </c>
      <c r="H6" s="22">
        <v>10000</v>
      </c>
      <c r="I6" s="20"/>
      <c r="J6" s="21"/>
      <c r="K6" s="20"/>
      <c r="L6" s="21"/>
      <c r="M6" s="20"/>
      <c r="N6" s="21"/>
      <c r="O6" s="20"/>
      <c r="P6" s="21"/>
      <c r="Q6" s="20"/>
      <c r="R6" s="21"/>
      <c r="S6" s="20"/>
      <c r="T6" s="21"/>
      <c r="U6" s="20"/>
      <c r="V6" s="21"/>
      <c r="W6" s="20"/>
      <c r="X6" s="21"/>
      <c r="Y6" s="20"/>
      <c r="Z6" s="21"/>
      <c r="AA6" s="20"/>
      <c r="AB6" s="21"/>
    </row>
    <row r="7" spans="1:28" x14ac:dyDescent="0.2">
      <c r="A7" s="1">
        <f t="shared" ref="A7:A25" si="0">ROW(C7)-5</f>
        <v>2</v>
      </c>
      <c r="B7" s="17">
        <v>46111</v>
      </c>
      <c r="C7" s="18">
        <v>3167175648</v>
      </c>
      <c r="D7" s="19" t="s">
        <v>18</v>
      </c>
      <c r="E7" s="20" t="s">
        <v>17</v>
      </c>
      <c r="F7" s="21">
        <v>10000</v>
      </c>
      <c r="G7" s="20">
        <v>10000</v>
      </c>
      <c r="H7" s="21">
        <v>10000</v>
      </c>
      <c r="I7" s="20">
        <v>10000</v>
      </c>
      <c r="J7" s="21"/>
      <c r="K7" s="20"/>
      <c r="L7" s="21"/>
      <c r="M7" s="20"/>
      <c r="N7" s="21"/>
      <c r="O7" s="20"/>
      <c r="P7" s="21"/>
      <c r="Q7" s="20"/>
      <c r="R7" s="21"/>
      <c r="S7" s="20"/>
      <c r="T7" s="21"/>
      <c r="U7" s="20"/>
      <c r="V7" s="21"/>
      <c r="W7" s="20"/>
      <c r="X7" s="21"/>
      <c r="Y7" s="20"/>
      <c r="Z7" s="21"/>
      <c r="AA7" s="20"/>
      <c r="AB7" s="21"/>
    </row>
    <row r="8" spans="1:28" x14ac:dyDescent="0.2">
      <c r="A8" s="1">
        <f t="shared" si="0"/>
        <v>3</v>
      </c>
      <c r="B8" s="17">
        <v>46122</v>
      </c>
      <c r="C8" s="18">
        <v>3177561186</v>
      </c>
      <c r="D8" s="19" t="s">
        <v>19</v>
      </c>
      <c r="E8" s="20" t="s">
        <v>17</v>
      </c>
      <c r="F8" s="21">
        <v>10000</v>
      </c>
      <c r="G8" s="20">
        <v>10000</v>
      </c>
      <c r="H8" s="21">
        <v>10000</v>
      </c>
      <c r="I8" s="20">
        <v>10000</v>
      </c>
      <c r="J8" s="21"/>
      <c r="K8" s="20"/>
      <c r="L8" s="21"/>
      <c r="M8" s="20"/>
      <c r="N8" s="21"/>
      <c r="O8" s="20"/>
      <c r="P8" s="21"/>
      <c r="Q8" s="20"/>
      <c r="R8" s="21"/>
      <c r="S8" s="20"/>
      <c r="T8" s="21"/>
      <c r="U8" s="20"/>
      <c r="V8" s="21"/>
      <c r="W8" s="20"/>
      <c r="X8" s="21"/>
      <c r="Y8" s="20"/>
      <c r="Z8" s="21"/>
      <c r="AA8" s="20"/>
      <c r="AB8" s="21"/>
    </row>
    <row r="9" spans="1:28" x14ac:dyDescent="0.2">
      <c r="A9" s="1">
        <f t="shared" si="0"/>
        <v>4</v>
      </c>
      <c r="B9" s="17">
        <v>46123</v>
      </c>
      <c r="C9" s="18">
        <v>3054783666</v>
      </c>
      <c r="D9" s="19" t="s">
        <v>20</v>
      </c>
      <c r="E9" s="20" t="s">
        <v>17</v>
      </c>
      <c r="F9" s="21">
        <v>10000</v>
      </c>
      <c r="G9" s="20">
        <v>10000</v>
      </c>
      <c r="H9" s="21">
        <v>10000</v>
      </c>
      <c r="I9" s="20"/>
      <c r="J9" s="21"/>
      <c r="K9" s="20"/>
      <c r="L9" s="21"/>
      <c r="M9" s="20"/>
      <c r="N9" s="21"/>
      <c r="O9" s="20"/>
      <c r="P9" s="21"/>
      <c r="Q9" s="20"/>
      <c r="R9" s="21"/>
      <c r="S9" s="20"/>
      <c r="T9" s="21"/>
      <c r="U9" s="20"/>
      <c r="V9" s="21"/>
      <c r="W9" s="20"/>
      <c r="X9" s="21"/>
      <c r="Y9" s="20"/>
      <c r="Z9" s="21"/>
      <c r="AA9" s="20"/>
      <c r="AB9" s="21"/>
    </row>
    <row r="10" spans="1:28" x14ac:dyDescent="0.2">
      <c r="A10" s="1">
        <f t="shared" si="0"/>
        <v>5</v>
      </c>
      <c r="B10" s="17">
        <v>46127</v>
      </c>
      <c r="C10" s="18">
        <v>3117717498</v>
      </c>
      <c r="D10" s="19" t="s">
        <v>21</v>
      </c>
      <c r="E10" s="20" t="s">
        <v>17</v>
      </c>
      <c r="F10" s="21">
        <v>10000</v>
      </c>
      <c r="G10" s="20">
        <v>10000</v>
      </c>
      <c r="H10" s="21">
        <v>10000</v>
      </c>
      <c r="I10" s="20"/>
      <c r="J10" s="21"/>
      <c r="K10" s="20"/>
      <c r="L10" s="21"/>
      <c r="M10" s="20"/>
      <c r="N10" s="21"/>
      <c r="O10" s="20"/>
      <c r="P10" s="21"/>
      <c r="Q10" s="20"/>
      <c r="R10" s="21"/>
      <c r="S10" s="20"/>
      <c r="T10" s="21"/>
      <c r="U10" s="20"/>
      <c r="V10" s="21"/>
      <c r="W10" s="20"/>
      <c r="X10" s="21"/>
      <c r="Y10" s="20"/>
      <c r="Z10" s="21"/>
      <c r="AA10" s="20"/>
      <c r="AB10" s="21"/>
    </row>
    <row r="11" spans="1:28" x14ac:dyDescent="0.2">
      <c r="A11" s="1">
        <f t="shared" si="0"/>
        <v>6</v>
      </c>
      <c r="B11" s="17">
        <v>46137</v>
      </c>
      <c r="C11" s="18">
        <v>3154577760</v>
      </c>
      <c r="D11" s="19" t="s">
        <v>22</v>
      </c>
      <c r="E11" s="20" t="s">
        <v>17</v>
      </c>
      <c r="F11" s="21">
        <v>10000</v>
      </c>
      <c r="G11" s="20">
        <v>10000</v>
      </c>
      <c r="H11" s="21">
        <v>10000</v>
      </c>
      <c r="I11" s="20"/>
      <c r="J11" s="21"/>
      <c r="K11" s="20"/>
      <c r="L11" s="21"/>
      <c r="M11" s="20"/>
      <c r="N11" s="21"/>
      <c r="O11" s="20"/>
      <c r="P11" s="21"/>
      <c r="Q11" s="20"/>
      <c r="R11" s="21"/>
      <c r="S11" s="20"/>
      <c r="T11" s="21"/>
      <c r="U11" s="20"/>
      <c r="V11" s="21"/>
      <c r="W11" s="20"/>
      <c r="X11" s="21"/>
      <c r="Y11" s="20"/>
      <c r="Z11" s="21"/>
      <c r="AA11" s="20"/>
      <c r="AB11" s="21"/>
    </row>
    <row r="12" spans="1:28" x14ac:dyDescent="0.2">
      <c r="A12" s="1">
        <f t="shared" si="0"/>
        <v>7</v>
      </c>
      <c r="B12" s="17">
        <v>46148</v>
      </c>
      <c r="C12" s="18">
        <v>3108962137</v>
      </c>
      <c r="D12" s="19" t="s">
        <v>23</v>
      </c>
      <c r="E12" s="20" t="s">
        <v>17</v>
      </c>
      <c r="F12" s="21">
        <v>10000</v>
      </c>
      <c r="G12" s="20">
        <v>10000</v>
      </c>
      <c r="H12" s="22">
        <v>10000</v>
      </c>
      <c r="I12" s="20"/>
      <c r="J12" s="21"/>
      <c r="K12" s="20"/>
      <c r="L12" s="21"/>
      <c r="M12" s="20"/>
      <c r="N12" s="21"/>
      <c r="O12" s="20"/>
      <c r="P12" s="21"/>
      <c r="Q12" s="20"/>
      <c r="R12" s="21"/>
      <c r="S12" s="20"/>
      <c r="T12" s="21"/>
      <c r="U12" s="20"/>
      <c r="V12" s="21"/>
      <c r="W12" s="20"/>
      <c r="X12" s="21"/>
      <c r="Y12" s="20"/>
      <c r="Z12" s="21"/>
      <c r="AA12" s="20"/>
      <c r="AB12" s="21"/>
    </row>
    <row r="13" spans="1:28" x14ac:dyDescent="0.2">
      <c r="A13" s="1">
        <f t="shared" si="0"/>
        <v>8</v>
      </c>
      <c r="B13" s="17">
        <v>46149</v>
      </c>
      <c r="C13" s="18">
        <v>3128455968</v>
      </c>
      <c r="D13" s="19" t="s">
        <v>24</v>
      </c>
      <c r="E13" s="20" t="s">
        <v>17</v>
      </c>
      <c r="F13" s="21">
        <v>10000</v>
      </c>
      <c r="G13" s="20">
        <v>10000</v>
      </c>
      <c r="H13" s="21">
        <v>10000</v>
      </c>
      <c r="I13" s="20"/>
      <c r="J13" s="21"/>
      <c r="K13" s="20"/>
      <c r="L13" s="21"/>
      <c r="M13" s="20"/>
      <c r="N13" s="21"/>
      <c r="O13" s="20"/>
      <c r="P13" s="21"/>
      <c r="Q13" s="20"/>
      <c r="R13" s="21"/>
      <c r="S13" s="20"/>
      <c r="T13" s="21"/>
      <c r="U13" s="20"/>
      <c r="V13" s="21"/>
      <c r="W13" s="20"/>
      <c r="X13" s="21"/>
      <c r="Y13" s="20"/>
      <c r="Z13" s="21"/>
      <c r="AA13" s="20"/>
      <c r="AB13" s="21"/>
    </row>
    <row r="14" spans="1:28" x14ac:dyDescent="0.2">
      <c r="A14" s="1">
        <f t="shared" si="0"/>
        <v>9</v>
      </c>
      <c r="B14" s="17">
        <v>46156</v>
      </c>
      <c r="C14" s="18">
        <v>3102106047</v>
      </c>
      <c r="D14" s="19" t="s">
        <v>25</v>
      </c>
      <c r="E14" s="20" t="s">
        <v>17</v>
      </c>
      <c r="F14" s="21">
        <v>10000</v>
      </c>
      <c r="G14" s="20">
        <v>10000</v>
      </c>
      <c r="H14" s="22">
        <v>10000</v>
      </c>
      <c r="I14" s="20"/>
      <c r="J14" s="21"/>
      <c r="K14" s="20"/>
      <c r="L14" s="21"/>
      <c r="M14" s="20"/>
      <c r="N14" s="21"/>
      <c r="O14" s="20"/>
      <c r="P14" s="21"/>
      <c r="Q14" s="20"/>
      <c r="R14" s="21"/>
      <c r="S14" s="20"/>
      <c r="T14" s="21"/>
      <c r="U14" s="20"/>
      <c r="V14" s="21"/>
      <c r="W14" s="20"/>
      <c r="X14" s="21"/>
      <c r="Y14" s="20"/>
      <c r="Z14" s="21"/>
      <c r="AA14" s="20"/>
      <c r="AB14" s="21"/>
    </row>
    <row r="15" spans="1:28" x14ac:dyDescent="0.2">
      <c r="A15" s="1">
        <f t="shared" si="0"/>
        <v>10</v>
      </c>
      <c r="B15" s="17">
        <v>46170</v>
      </c>
      <c r="C15" s="18">
        <v>3233404730</v>
      </c>
      <c r="D15" s="19" t="s">
        <v>26</v>
      </c>
      <c r="E15" s="20" t="s">
        <v>17</v>
      </c>
      <c r="F15" s="21">
        <v>10000</v>
      </c>
      <c r="G15" s="20">
        <v>10000</v>
      </c>
      <c r="H15" s="22">
        <v>10000</v>
      </c>
      <c r="I15" s="20">
        <v>10000</v>
      </c>
      <c r="J15" s="21"/>
      <c r="K15" s="20"/>
      <c r="L15" s="21"/>
      <c r="M15" s="20"/>
      <c r="N15" s="21"/>
      <c r="O15" s="20"/>
      <c r="P15" s="21"/>
      <c r="Q15" s="20"/>
      <c r="R15" s="21"/>
      <c r="S15" s="20"/>
      <c r="T15" s="21"/>
      <c r="U15" s="20"/>
      <c r="V15" s="21"/>
      <c r="W15" s="20"/>
      <c r="X15" s="21"/>
      <c r="Y15" s="20"/>
      <c r="Z15" s="21"/>
      <c r="AA15" s="20"/>
      <c r="AB15" s="21"/>
    </row>
    <row r="16" spans="1:28" x14ac:dyDescent="0.2">
      <c r="A16" s="1">
        <f t="shared" si="0"/>
        <v>11</v>
      </c>
      <c r="B16" s="17">
        <v>46188</v>
      </c>
      <c r="C16" s="23">
        <v>3174965915</v>
      </c>
      <c r="D16" s="24" t="s">
        <v>27</v>
      </c>
      <c r="E16" s="20" t="s">
        <v>17</v>
      </c>
      <c r="F16" s="21">
        <v>10000</v>
      </c>
      <c r="G16" s="20">
        <v>10000</v>
      </c>
      <c r="H16" s="21">
        <v>10000</v>
      </c>
      <c r="I16" s="20"/>
      <c r="J16" s="21"/>
      <c r="K16" s="20"/>
      <c r="L16" s="21"/>
      <c r="M16" s="20"/>
      <c r="N16" s="21"/>
      <c r="O16" s="20"/>
      <c r="P16" s="21"/>
      <c r="Q16" s="20"/>
      <c r="R16" s="21"/>
      <c r="S16" s="20"/>
      <c r="T16" s="21"/>
      <c r="U16" s="20"/>
      <c r="V16" s="21"/>
      <c r="W16" s="20"/>
      <c r="X16" s="21"/>
      <c r="Y16" s="20"/>
      <c r="Z16" s="21"/>
      <c r="AA16" s="20"/>
      <c r="AB16" s="21"/>
    </row>
    <row r="17" spans="1:29" x14ac:dyDescent="0.2">
      <c r="A17" s="1">
        <f t="shared" si="0"/>
        <v>12</v>
      </c>
      <c r="B17" s="17">
        <v>46206</v>
      </c>
      <c r="C17" s="23">
        <v>3125160632</v>
      </c>
      <c r="D17" s="24" t="s">
        <v>28</v>
      </c>
      <c r="E17" s="20" t="s">
        <v>17</v>
      </c>
      <c r="F17" s="21">
        <v>10000</v>
      </c>
      <c r="G17" s="20">
        <v>10000</v>
      </c>
      <c r="H17" s="21">
        <v>10000</v>
      </c>
      <c r="I17" s="20"/>
      <c r="J17" s="21"/>
      <c r="K17" s="20"/>
      <c r="L17" s="21"/>
      <c r="M17" s="20"/>
      <c r="N17" s="21"/>
      <c r="O17" s="20"/>
      <c r="P17" s="21"/>
      <c r="Q17" s="20"/>
      <c r="R17" s="21"/>
      <c r="S17" s="20"/>
      <c r="T17" s="21"/>
      <c r="U17" s="20"/>
      <c r="V17" s="21"/>
      <c r="W17" s="20"/>
      <c r="X17" s="21"/>
      <c r="Y17" s="20"/>
      <c r="Z17" s="21"/>
      <c r="AA17" s="20"/>
      <c r="AB17" s="21"/>
    </row>
    <row r="18" spans="1:29" x14ac:dyDescent="0.2">
      <c r="A18" s="1">
        <f t="shared" si="0"/>
        <v>13</v>
      </c>
      <c r="B18" s="17">
        <v>46233</v>
      </c>
      <c r="C18" s="23">
        <v>3102105952</v>
      </c>
      <c r="D18" s="24" t="s">
        <v>29</v>
      </c>
      <c r="E18" s="20" t="s">
        <v>17</v>
      </c>
      <c r="F18" s="21">
        <v>10000</v>
      </c>
      <c r="G18" s="20">
        <v>10000</v>
      </c>
      <c r="H18" s="22">
        <v>10000</v>
      </c>
      <c r="I18" s="20">
        <v>10000</v>
      </c>
      <c r="J18" s="21"/>
      <c r="K18" s="20"/>
      <c r="L18" s="21"/>
      <c r="M18" s="20"/>
      <c r="N18" s="21"/>
      <c r="O18" s="20"/>
      <c r="P18" s="21"/>
      <c r="Q18" s="20"/>
      <c r="R18" s="21"/>
      <c r="S18" s="20"/>
      <c r="T18" s="21"/>
      <c r="U18" s="20"/>
      <c r="V18" s="21"/>
      <c r="W18" s="20"/>
      <c r="X18" s="21"/>
      <c r="Y18" s="20"/>
      <c r="Z18" s="21"/>
      <c r="AA18" s="20"/>
      <c r="AB18" s="21"/>
    </row>
    <row r="19" spans="1:29" x14ac:dyDescent="0.2">
      <c r="A19" s="1">
        <f t="shared" si="0"/>
        <v>14</v>
      </c>
      <c r="B19" s="17">
        <v>46266</v>
      </c>
      <c r="C19" s="23">
        <v>3154149350</v>
      </c>
      <c r="D19" s="24" t="s">
        <v>30</v>
      </c>
      <c r="E19" s="20" t="s">
        <v>17</v>
      </c>
      <c r="F19" s="21">
        <v>10000</v>
      </c>
      <c r="G19" s="20">
        <v>10000</v>
      </c>
      <c r="H19" s="21">
        <v>10000</v>
      </c>
      <c r="I19" s="20">
        <v>10000</v>
      </c>
      <c r="J19" s="21"/>
      <c r="K19" s="20"/>
      <c r="L19" s="21"/>
      <c r="M19" s="20"/>
      <c r="N19" s="21"/>
      <c r="O19" s="20"/>
      <c r="P19" s="21"/>
      <c r="Q19" s="20"/>
      <c r="R19" s="21"/>
      <c r="S19" s="20"/>
      <c r="T19" s="21"/>
      <c r="U19" s="20"/>
      <c r="V19" s="21"/>
      <c r="W19" s="20"/>
      <c r="X19" s="21"/>
      <c r="Y19" s="20"/>
      <c r="Z19" s="21"/>
      <c r="AA19" s="20"/>
      <c r="AB19" s="21"/>
    </row>
    <row r="20" spans="1:29" x14ac:dyDescent="0.2">
      <c r="A20" s="1">
        <f t="shared" si="0"/>
        <v>15</v>
      </c>
      <c r="B20" s="17">
        <v>46282</v>
      </c>
      <c r="C20" s="23">
        <v>3167051432</v>
      </c>
      <c r="D20" s="24" t="s">
        <v>31</v>
      </c>
      <c r="E20" s="20" t="s">
        <v>17</v>
      </c>
      <c r="F20" s="21">
        <v>10000</v>
      </c>
      <c r="G20" s="20">
        <v>10000</v>
      </c>
      <c r="H20" s="21">
        <v>10000</v>
      </c>
      <c r="I20" s="20"/>
      <c r="J20" s="21"/>
      <c r="K20" s="20"/>
      <c r="L20" s="21"/>
      <c r="M20" s="20"/>
      <c r="N20" s="21"/>
      <c r="O20" s="20"/>
      <c r="P20" s="21"/>
      <c r="Q20" s="20"/>
      <c r="R20" s="21"/>
      <c r="S20" s="20"/>
      <c r="T20" s="21"/>
      <c r="U20" s="20"/>
      <c r="V20" s="21"/>
      <c r="W20" s="20"/>
      <c r="X20" s="21"/>
      <c r="Y20" s="20"/>
      <c r="Z20" s="21"/>
      <c r="AA20" s="20"/>
      <c r="AB20" s="21"/>
    </row>
    <row r="21" spans="1:29" x14ac:dyDescent="0.2">
      <c r="A21" s="1">
        <f t="shared" si="0"/>
        <v>16</v>
      </c>
      <c r="B21" s="17">
        <v>46314</v>
      </c>
      <c r="C21" s="23">
        <v>3102269604</v>
      </c>
      <c r="D21" s="24" t="s">
        <v>32</v>
      </c>
      <c r="E21" s="20" t="s">
        <v>17</v>
      </c>
      <c r="F21" s="21">
        <v>10000</v>
      </c>
      <c r="G21" s="20">
        <v>10000</v>
      </c>
      <c r="H21" s="22">
        <v>10000</v>
      </c>
      <c r="I21" s="20"/>
      <c r="J21" s="21"/>
      <c r="K21" s="20"/>
      <c r="L21" s="21"/>
      <c r="M21" s="20"/>
      <c r="N21" s="21"/>
      <c r="O21" s="20"/>
      <c r="P21" s="21"/>
      <c r="Q21" s="20"/>
      <c r="R21" s="21"/>
      <c r="S21" s="20"/>
      <c r="T21" s="21"/>
      <c r="U21" s="20"/>
      <c r="V21" s="21"/>
      <c r="W21" s="20"/>
      <c r="X21" s="21"/>
      <c r="Y21" s="20"/>
      <c r="Z21" s="21"/>
      <c r="AA21" s="20"/>
      <c r="AB21" s="21"/>
    </row>
    <row r="22" spans="1:29" x14ac:dyDescent="0.2">
      <c r="A22" s="1">
        <f t="shared" si="0"/>
        <v>17</v>
      </c>
      <c r="B22" s="17">
        <v>46360</v>
      </c>
      <c r="C22" s="23">
        <v>3104607757</v>
      </c>
      <c r="D22" s="24" t="s">
        <v>33</v>
      </c>
      <c r="E22" s="20" t="s">
        <v>17</v>
      </c>
      <c r="F22" s="21">
        <v>10000</v>
      </c>
      <c r="G22" s="20">
        <v>10000</v>
      </c>
      <c r="H22" s="21">
        <v>10000</v>
      </c>
      <c r="I22" s="20"/>
      <c r="J22" s="21"/>
      <c r="K22" s="20"/>
      <c r="L22" s="21"/>
      <c r="M22" s="20"/>
      <c r="N22" s="21"/>
      <c r="O22" s="20"/>
      <c r="P22" s="21"/>
      <c r="Q22" s="20"/>
      <c r="R22" s="21"/>
      <c r="S22" s="20"/>
      <c r="T22" s="21"/>
      <c r="U22" s="20"/>
      <c r="V22" s="21"/>
      <c r="W22" s="20"/>
      <c r="X22" s="21"/>
      <c r="Y22" s="20"/>
      <c r="Z22" s="21"/>
      <c r="AA22" s="20"/>
      <c r="AB22" s="21"/>
    </row>
    <row r="23" spans="1:29" x14ac:dyDescent="0.2">
      <c r="A23" s="1">
        <f t="shared" si="0"/>
        <v>18</v>
      </c>
      <c r="B23" s="17">
        <v>46367</v>
      </c>
      <c r="C23" s="23">
        <v>3217544305</v>
      </c>
      <c r="D23" s="24" t="s">
        <v>34</v>
      </c>
      <c r="E23" s="20" t="s">
        <v>17</v>
      </c>
      <c r="F23" s="21">
        <v>10000</v>
      </c>
      <c r="G23" s="20">
        <v>10000</v>
      </c>
      <c r="H23" s="21">
        <v>10000</v>
      </c>
      <c r="I23" s="20"/>
      <c r="J23" s="21"/>
      <c r="K23" s="20"/>
      <c r="L23" s="21"/>
      <c r="M23" s="20"/>
      <c r="N23" s="21"/>
      <c r="O23" s="20"/>
      <c r="P23" s="21"/>
      <c r="Q23" s="20"/>
      <c r="R23" s="21"/>
      <c r="S23" s="20"/>
      <c r="T23" s="21"/>
      <c r="U23" s="20"/>
      <c r="V23" s="21"/>
      <c r="W23" s="20"/>
      <c r="X23" s="21"/>
      <c r="Y23" s="20"/>
      <c r="Z23" s="21"/>
      <c r="AA23" s="20"/>
      <c r="AB23" s="21"/>
    </row>
    <row r="24" spans="1:29" x14ac:dyDescent="0.2">
      <c r="A24" s="1">
        <f t="shared" si="0"/>
        <v>19</v>
      </c>
      <c r="B24" s="17">
        <v>46376</v>
      </c>
      <c r="C24" s="23">
        <v>3136922596</v>
      </c>
      <c r="D24" s="24" t="s">
        <v>35</v>
      </c>
      <c r="E24" s="20" t="s">
        <v>17</v>
      </c>
      <c r="F24" s="21">
        <v>10000</v>
      </c>
      <c r="G24" s="20">
        <v>10000</v>
      </c>
      <c r="H24" s="21">
        <v>10000</v>
      </c>
      <c r="I24" s="20"/>
      <c r="J24" s="21"/>
      <c r="K24" s="20"/>
      <c r="L24" s="21"/>
      <c r="M24" s="20"/>
      <c r="N24" s="21"/>
      <c r="O24" s="20"/>
      <c r="P24" s="21"/>
      <c r="Q24" s="20"/>
      <c r="R24" s="21"/>
      <c r="S24" s="20"/>
      <c r="T24" s="21"/>
      <c r="U24" s="20"/>
      <c r="V24" s="21"/>
      <c r="W24" s="20"/>
      <c r="X24" s="21"/>
      <c r="Y24" s="20"/>
      <c r="Z24" s="21"/>
      <c r="AA24" s="20"/>
      <c r="AB24" s="21"/>
    </row>
    <row r="25" spans="1:29" x14ac:dyDescent="0.2">
      <c r="A25" s="1">
        <f t="shared" si="0"/>
        <v>20</v>
      </c>
      <c r="B25" s="17">
        <v>46380</v>
      </c>
      <c r="C25" s="23">
        <v>3028283369</v>
      </c>
      <c r="D25" s="24" t="s">
        <v>36</v>
      </c>
      <c r="E25" s="20" t="s">
        <v>17</v>
      </c>
      <c r="F25" s="21">
        <v>10000</v>
      </c>
      <c r="G25" s="20">
        <v>10000</v>
      </c>
      <c r="H25" s="21">
        <v>10000</v>
      </c>
      <c r="I25" s="20"/>
      <c r="J25" s="21"/>
      <c r="K25" s="20"/>
      <c r="L25" s="21"/>
      <c r="M25" s="20"/>
      <c r="N25" s="21"/>
      <c r="O25" s="20"/>
      <c r="P25" s="21"/>
      <c r="Q25" s="20"/>
      <c r="R25" s="21"/>
      <c r="S25" s="20"/>
      <c r="T25" s="21"/>
      <c r="U25" s="20"/>
      <c r="V25" s="21"/>
      <c r="W25" s="20"/>
      <c r="X25" s="21"/>
      <c r="Y25" s="20"/>
      <c r="Z25" s="21"/>
      <c r="AA25" s="20"/>
      <c r="AB25" s="21"/>
    </row>
    <row r="26" spans="1:29" x14ac:dyDescent="0.2">
      <c r="D26" s="25" t="s">
        <v>37</v>
      </c>
      <c r="E26" s="26"/>
      <c r="F26" s="27">
        <f>SUM(F6:F25)</f>
        <v>200000</v>
      </c>
      <c r="G26" s="26">
        <f>SUM(G6:G25)</f>
        <v>200000</v>
      </c>
      <c r="H26" s="27">
        <f>SUM(H6:H25)</f>
        <v>200000</v>
      </c>
      <c r="I26" s="26">
        <f t="shared" ref="I26:AB26" si="1">SUM(I6:I22)</f>
        <v>50000</v>
      </c>
      <c r="J26" s="26">
        <f t="shared" si="1"/>
        <v>0</v>
      </c>
      <c r="K26" s="26">
        <f t="shared" si="1"/>
        <v>0</v>
      </c>
      <c r="L26" s="26">
        <f t="shared" si="1"/>
        <v>0</v>
      </c>
      <c r="M26" s="26">
        <f t="shared" si="1"/>
        <v>0</v>
      </c>
      <c r="N26" s="26">
        <f t="shared" si="1"/>
        <v>0</v>
      </c>
      <c r="O26" s="26">
        <f t="shared" si="1"/>
        <v>0</v>
      </c>
      <c r="P26" s="26">
        <f t="shared" si="1"/>
        <v>0</v>
      </c>
      <c r="Q26" s="26">
        <f t="shared" si="1"/>
        <v>0</v>
      </c>
      <c r="R26" s="26">
        <f t="shared" si="1"/>
        <v>0</v>
      </c>
      <c r="S26" s="26">
        <f t="shared" si="1"/>
        <v>0</v>
      </c>
      <c r="T26" s="26">
        <f t="shared" si="1"/>
        <v>0</v>
      </c>
      <c r="U26" s="26">
        <f t="shared" si="1"/>
        <v>0</v>
      </c>
      <c r="V26" s="26">
        <f t="shared" si="1"/>
        <v>0</v>
      </c>
      <c r="W26" s="26">
        <f t="shared" si="1"/>
        <v>0</v>
      </c>
      <c r="X26" s="26">
        <f t="shared" si="1"/>
        <v>0</v>
      </c>
      <c r="Y26" s="26">
        <f t="shared" si="1"/>
        <v>0</v>
      </c>
      <c r="Z26" s="26">
        <f t="shared" si="1"/>
        <v>0</v>
      </c>
      <c r="AA26" s="26">
        <f t="shared" si="1"/>
        <v>0</v>
      </c>
      <c r="AB26" s="26">
        <f t="shared" si="1"/>
        <v>0</v>
      </c>
    </row>
    <row r="27" spans="1:29" x14ac:dyDescent="0.2">
      <c r="E27" s="28">
        <f t="shared" ref="E27" si="2">E26+F26</f>
        <v>200000</v>
      </c>
      <c r="F27" s="28"/>
      <c r="G27" s="29">
        <f t="shared" ref="G27" si="3">G26+H26</f>
        <v>400000</v>
      </c>
      <c r="H27" s="29"/>
      <c r="I27" s="28">
        <f t="shared" ref="I27" si="4">I26+J26</f>
        <v>50000</v>
      </c>
      <c r="J27" s="28"/>
      <c r="K27" s="28">
        <f t="shared" ref="K27" si="5">K26+L26</f>
        <v>0</v>
      </c>
      <c r="L27" s="28"/>
      <c r="M27" s="28">
        <f t="shared" ref="M27" si="6">M26+N26</f>
        <v>0</v>
      </c>
      <c r="N27" s="28"/>
      <c r="O27" s="28">
        <f t="shared" ref="O27" si="7">O26+P26</f>
        <v>0</v>
      </c>
      <c r="P27" s="28"/>
      <c r="Q27" s="28">
        <f t="shared" ref="Q27" si="8">Q26+R26</f>
        <v>0</v>
      </c>
      <c r="R27" s="28"/>
      <c r="S27" s="28">
        <f t="shared" ref="S27" si="9">S26+T26</f>
        <v>0</v>
      </c>
      <c r="T27" s="28"/>
      <c r="U27" s="28">
        <f t="shared" ref="U27" si="10">U26+V26</f>
        <v>0</v>
      </c>
      <c r="V27" s="28"/>
      <c r="W27" s="28">
        <f t="shared" ref="W27" si="11">W26+X26</f>
        <v>0</v>
      </c>
      <c r="X27" s="28"/>
      <c r="Y27" s="28">
        <f t="shared" ref="Y27" si="12">Y26+Z26</f>
        <v>0</v>
      </c>
      <c r="Z27" s="28"/>
      <c r="AA27" s="28">
        <f t="shared" ref="AA27" si="13">AA26+AB26</f>
        <v>0</v>
      </c>
      <c r="AB27" s="28"/>
    </row>
    <row r="28" spans="1:29" ht="2.25" customHeight="1" thickBot="1" x14ac:dyDescent="0.25"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9" ht="12" thickBot="1" x14ac:dyDescent="0.25">
      <c r="D29" s="30" t="s">
        <v>38</v>
      </c>
      <c r="E29" s="31">
        <v>80500</v>
      </c>
      <c r="F29" s="32"/>
      <c r="G29" s="33">
        <v>90000</v>
      </c>
      <c r="H29" s="34"/>
      <c r="I29" s="31"/>
      <c r="J29" s="32"/>
      <c r="K29" s="33"/>
      <c r="L29" s="34"/>
      <c r="M29" s="31"/>
      <c r="N29" s="32"/>
      <c r="O29" s="33"/>
      <c r="P29" s="34"/>
      <c r="Q29" s="31"/>
      <c r="R29" s="32"/>
      <c r="S29" s="33"/>
      <c r="T29" s="34"/>
      <c r="U29" s="31"/>
      <c r="V29" s="32"/>
      <c r="W29" s="33"/>
      <c r="X29" s="34"/>
      <c r="Y29" s="31"/>
      <c r="Z29" s="32"/>
      <c r="AA29" s="33"/>
      <c r="AB29" s="35"/>
      <c r="AC29" s="36">
        <f>SUM(E29:AB29)</f>
        <v>170500</v>
      </c>
    </row>
    <row r="30" spans="1:29" ht="1.5" customHeight="1" thickBot="1" x14ac:dyDescent="0.25"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9" ht="12" thickBot="1" x14ac:dyDescent="0.25">
      <c r="C31" s="37" t="s">
        <v>39</v>
      </c>
      <c r="D31" s="38" t="s">
        <v>40</v>
      </c>
      <c r="E31" s="39">
        <f>F26-E29</f>
        <v>119500</v>
      </c>
      <c r="F31" s="15"/>
      <c r="G31" s="39">
        <f>G27-G29</f>
        <v>310000</v>
      </c>
      <c r="H31" s="15"/>
      <c r="I31" s="39">
        <f t="shared" ref="I31" si="14">I27-I29</f>
        <v>50000</v>
      </c>
      <c r="J31" s="15"/>
      <c r="K31" s="39">
        <f t="shared" ref="K31" si="15">K27-K29</f>
        <v>0</v>
      </c>
      <c r="L31" s="15"/>
      <c r="M31" s="39">
        <f t="shared" ref="M31" si="16">M27-M29</f>
        <v>0</v>
      </c>
      <c r="N31" s="15"/>
      <c r="O31" s="39">
        <f t="shared" ref="O31" si="17">O27-O29</f>
        <v>0</v>
      </c>
      <c r="P31" s="15"/>
      <c r="Q31" s="39">
        <f t="shared" ref="Q31" si="18">Q27-Q29</f>
        <v>0</v>
      </c>
      <c r="R31" s="15"/>
      <c r="S31" s="39">
        <f t="shared" ref="S31" si="19">S27-S29</f>
        <v>0</v>
      </c>
      <c r="T31" s="15"/>
      <c r="U31" s="39">
        <f t="shared" ref="U31" si="20">U27-U29</f>
        <v>0</v>
      </c>
      <c r="V31" s="15"/>
      <c r="W31" s="39">
        <f t="shared" ref="W31" si="21">W27-W29</f>
        <v>0</v>
      </c>
      <c r="X31" s="15"/>
      <c r="Y31" s="39">
        <f t="shared" ref="Y31" si="22">Y27-Y29</f>
        <v>0</v>
      </c>
      <c r="Z31" s="15"/>
      <c r="AA31" s="39">
        <f t="shared" ref="AA31" si="23">AA27-AA29</f>
        <v>0</v>
      </c>
      <c r="AB31" s="40"/>
      <c r="AC31" s="36">
        <f>SUM(E31:Z31)</f>
        <v>479500</v>
      </c>
    </row>
    <row r="32" spans="1:29" ht="6" customHeight="1" thickBot="1" x14ac:dyDescent="0.25"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s="10" customFormat="1" ht="16.5" customHeight="1" thickBot="1" x14ac:dyDescent="0.3">
      <c r="A33" s="9"/>
      <c r="C33" s="41">
        <f>D33-AC31</f>
        <v>170500</v>
      </c>
      <c r="D33" s="42">
        <f>E27+G27+I27+K27+M27+O27+Q27+S27+U27+W27+Y27+AA27</f>
        <v>650000</v>
      </c>
      <c r="E33" s="9"/>
      <c r="F33" s="9"/>
      <c r="G33" s="9"/>
      <c r="H33" s="9"/>
      <c r="I33" s="9"/>
      <c r="J33" s="9"/>
      <c r="K33" s="9"/>
      <c r="L33" s="43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 ht="3.75" customHeight="1" thickBot="1" x14ac:dyDescent="0.25"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.75" customHeight="1" thickBot="1" x14ac:dyDescent="0.25">
      <c r="B35" s="9" t="s">
        <v>41</v>
      </c>
      <c r="C35" s="44">
        <f>D33-C33</f>
        <v>479500</v>
      </c>
      <c r="D35" s="45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x14ac:dyDescent="0.2"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x14ac:dyDescent="0.2"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x14ac:dyDescent="0.2"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x14ac:dyDescent="0.2"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x14ac:dyDescent="0.2"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x14ac:dyDescent="0.2"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x14ac:dyDescent="0.2"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x14ac:dyDescent="0.2"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x14ac:dyDescent="0.2"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x14ac:dyDescent="0.2"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x14ac:dyDescent="0.2"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x14ac:dyDescent="0.2"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x14ac:dyDescent="0.2"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5:28" x14ac:dyDescent="0.2"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5:28" x14ac:dyDescent="0.2"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5:28" x14ac:dyDescent="0.2"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5:28" x14ac:dyDescent="0.2"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5:28" x14ac:dyDescent="0.2"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5:28" x14ac:dyDescent="0.2"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5:28" x14ac:dyDescent="0.2"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5:28" x14ac:dyDescent="0.2"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5:28" x14ac:dyDescent="0.2"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5:28" x14ac:dyDescent="0.2"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5:28" x14ac:dyDescent="0.2"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5:28" x14ac:dyDescent="0.2"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5:28" x14ac:dyDescent="0.2"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5:28" x14ac:dyDescent="0.2"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5:28" x14ac:dyDescent="0.2"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5:28" x14ac:dyDescent="0.2"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5:28" x14ac:dyDescent="0.2"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5:28" x14ac:dyDescent="0.2"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5:28" x14ac:dyDescent="0.2"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5:28" x14ac:dyDescent="0.2"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5:28" x14ac:dyDescent="0.2"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5:28" x14ac:dyDescent="0.2"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5:28" x14ac:dyDescent="0.2"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5:28" x14ac:dyDescent="0.2"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5:28" x14ac:dyDescent="0.2"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5:28" x14ac:dyDescent="0.2"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5:28" x14ac:dyDescent="0.2"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5:28" x14ac:dyDescent="0.2"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5:28" x14ac:dyDescent="0.2"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5:28" x14ac:dyDescent="0.2"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5:28" x14ac:dyDescent="0.2"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5:28" x14ac:dyDescent="0.2"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5:28" x14ac:dyDescent="0.2"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5:28" x14ac:dyDescent="0.2"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5:28" x14ac:dyDescent="0.2"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5:28" x14ac:dyDescent="0.2"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5:28" x14ac:dyDescent="0.2"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5:28" x14ac:dyDescent="0.2"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5:28" x14ac:dyDescent="0.2"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5:28" x14ac:dyDescent="0.2"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5:28" x14ac:dyDescent="0.2"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5:28" x14ac:dyDescent="0.2"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5:28" x14ac:dyDescent="0.2"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5:28" x14ac:dyDescent="0.2"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5:28" x14ac:dyDescent="0.2"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5:28" x14ac:dyDescent="0.2"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5:28" x14ac:dyDescent="0.2"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5:28" x14ac:dyDescent="0.2"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5:28" x14ac:dyDescent="0.2"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5:28" x14ac:dyDescent="0.2"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5:28" x14ac:dyDescent="0.2"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5:28" x14ac:dyDescent="0.2"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5:28" x14ac:dyDescent="0.2"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5:28" x14ac:dyDescent="0.2"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5:28" x14ac:dyDescent="0.2"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5:28" x14ac:dyDescent="0.2"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5:28" x14ac:dyDescent="0.2"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5:28" x14ac:dyDescent="0.2"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5:28" x14ac:dyDescent="0.2"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5:28" x14ac:dyDescent="0.2"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5:28" x14ac:dyDescent="0.2"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5:28" x14ac:dyDescent="0.2"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5:28" x14ac:dyDescent="0.2"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5:28" x14ac:dyDescent="0.2"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5:28" x14ac:dyDescent="0.2"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5:28" x14ac:dyDescent="0.2"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5:28" x14ac:dyDescent="0.2"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5:28" x14ac:dyDescent="0.2"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5:28" x14ac:dyDescent="0.2"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5:28" x14ac:dyDescent="0.2"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5:28" x14ac:dyDescent="0.2"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5:28" x14ac:dyDescent="0.2"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5:28" x14ac:dyDescent="0.2"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5:28" x14ac:dyDescent="0.2"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5:28" x14ac:dyDescent="0.2"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5:28" x14ac:dyDescent="0.2"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5:28" x14ac:dyDescent="0.2"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5:28" x14ac:dyDescent="0.2"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5:28" x14ac:dyDescent="0.2"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5:28" x14ac:dyDescent="0.2"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5:28" x14ac:dyDescent="0.2"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5:28" x14ac:dyDescent="0.2"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5:28" x14ac:dyDescent="0.2"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5:28" x14ac:dyDescent="0.2"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5:28" x14ac:dyDescent="0.2"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5:28" x14ac:dyDescent="0.2"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5:28" x14ac:dyDescent="0.2"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5:28" x14ac:dyDescent="0.2"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5:28" x14ac:dyDescent="0.2"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5:28" x14ac:dyDescent="0.2"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5:28" x14ac:dyDescent="0.2"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5:28" x14ac:dyDescent="0.2"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5:28" x14ac:dyDescent="0.2"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5:28" x14ac:dyDescent="0.2"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5:28" x14ac:dyDescent="0.2"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5:28" x14ac:dyDescent="0.2"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5:28" x14ac:dyDescent="0.2"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5:28" x14ac:dyDescent="0.2"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5:28" x14ac:dyDescent="0.2"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5:28" x14ac:dyDescent="0.2"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5:28" x14ac:dyDescent="0.2"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5:28" x14ac:dyDescent="0.2"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5:28" x14ac:dyDescent="0.2"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5:28" x14ac:dyDescent="0.2"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5:28" x14ac:dyDescent="0.2"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5:28" x14ac:dyDescent="0.2"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5:28" x14ac:dyDescent="0.2"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5:28" x14ac:dyDescent="0.2"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5:28" x14ac:dyDescent="0.2"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5:28" x14ac:dyDescent="0.2"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5:28" x14ac:dyDescent="0.2"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5:28" x14ac:dyDescent="0.2"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5:28" x14ac:dyDescent="0.2"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5:28" x14ac:dyDescent="0.2"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5:28" x14ac:dyDescent="0.2"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5:28" x14ac:dyDescent="0.2"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5:28" x14ac:dyDescent="0.2"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5:28" x14ac:dyDescent="0.2"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5:28" x14ac:dyDescent="0.2"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5:28" x14ac:dyDescent="0.2"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5:28" x14ac:dyDescent="0.2"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5:28" x14ac:dyDescent="0.2"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5:28" x14ac:dyDescent="0.2"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5:28" x14ac:dyDescent="0.2"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5:28" x14ac:dyDescent="0.2"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5:28" x14ac:dyDescent="0.2"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5:28" x14ac:dyDescent="0.2"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5:28" x14ac:dyDescent="0.2"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5:28" x14ac:dyDescent="0.2"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5:28" x14ac:dyDescent="0.2"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5:28" x14ac:dyDescent="0.2"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5:28" x14ac:dyDescent="0.2"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5:28" x14ac:dyDescent="0.2"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5:28" x14ac:dyDescent="0.2"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5:28" x14ac:dyDescent="0.2"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5:28" x14ac:dyDescent="0.2"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5:28" x14ac:dyDescent="0.2"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5:28" x14ac:dyDescent="0.2"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5:28" x14ac:dyDescent="0.2"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5:28" x14ac:dyDescent="0.2"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5:28" x14ac:dyDescent="0.2"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5:28" x14ac:dyDescent="0.2"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5:28" x14ac:dyDescent="0.2"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5:28" x14ac:dyDescent="0.2"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5:28" x14ac:dyDescent="0.2"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5:28" x14ac:dyDescent="0.2"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5:28" x14ac:dyDescent="0.2"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5:28" x14ac:dyDescent="0.2"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5:28" x14ac:dyDescent="0.2"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5:28" x14ac:dyDescent="0.2"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5:28" x14ac:dyDescent="0.2"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5:28" x14ac:dyDescent="0.2"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5:28" x14ac:dyDescent="0.2"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5:28" x14ac:dyDescent="0.2"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5:28" x14ac:dyDescent="0.2"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5:28" x14ac:dyDescent="0.2"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5:28" x14ac:dyDescent="0.2"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5:28" x14ac:dyDescent="0.2"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5:28" x14ac:dyDescent="0.2"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5:28" x14ac:dyDescent="0.2"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5:28" x14ac:dyDescent="0.2"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5:28" x14ac:dyDescent="0.2"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5:28" x14ac:dyDescent="0.2"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5:28" x14ac:dyDescent="0.2"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5:28" x14ac:dyDescent="0.2"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5:28" x14ac:dyDescent="0.2"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5:28" x14ac:dyDescent="0.2"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5:28" x14ac:dyDescent="0.2"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5:28" x14ac:dyDescent="0.2"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5:28" x14ac:dyDescent="0.2"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5:28" x14ac:dyDescent="0.2"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5:28" x14ac:dyDescent="0.2"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5:28" x14ac:dyDescent="0.2"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5:28" x14ac:dyDescent="0.2"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5:28" x14ac:dyDescent="0.2"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5:28" x14ac:dyDescent="0.2"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5:28" x14ac:dyDescent="0.2"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5:28" x14ac:dyDescent="0.2"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5:28" x14ac:dyDescent="0.2"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5:28" x14ac:dyDescent="0.2"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5:28" x14ac:dyDescent="0.2"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5:28" x14ac:dyDescent="0.2"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5:28" x14ac:dyDescent="0.2"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5:28" x14ac:dyDescent="0.2"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5:28" x14ac:dyDescent="0.2"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5:28" x14ac:dyDescent="0.2"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5:28" x14ac:dyDescent="0.2"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5:28" x14ac:dyDescent="0.2"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5:28" x14ac:dyDescent="0.2"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5:28" x14ac:dyDescent="0.2"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5:28" x14ac:dyDescent="0.2"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5:28" x14ac:dyDescent="0.2"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5:28" x14ac:dyDescent="0.2"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5:28" x14ac:dyDescent="0.2"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5:28" x14ac:dyDescent="0.2"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5:28" x14ac:dyDescent="0.2"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5:28" x14ac:dyDescent="0.2"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5:28" x14ac:dyDescent="0.2"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5:28" x14ac:dyDescent="0.2"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5:28" x14ac:dyDescent="0.2"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5:28" x14ac:dyDescent="0.2"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5:28" x14ac:dyDescent="0.2"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5:28" x14ac:dyDescent="0.2"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5:28" x14ac:dyDescent="0.2"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5:28" x14ac:dyDescent="0.2"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5:28" x14ac:dyDescent="0.2"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5:28" x14ac:dyDescent="0.2"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5:28" x14ac:dyDescent="0.2"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5:28" x14ac:dyDescent="0.2"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5:28" x14ac:dyDescent="0.2"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5:28" x14ac:dyDescent="0.2"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5:28" x14ac:dyDescent="0.2"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5:28" x14ac:dyDescent="0.2"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5:28" x14ac:dyDescent="0.2"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5:28" x14ac:dyDescent="0.2"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5:28" x14ac:dyDescent="0.2"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5:28" x14ac:dyDescent="0.2"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5:28" x14ac:dyDescent="0.2"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5:28" x14ac:dyDescent="0.2"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5:28" x14ac:dyDescent="0.2"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5:28" x14ac:dyDescent="0.2"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5:28" x14ac:dyDescent="0.2"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5:28" x14ac:dyDescent="0.2"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5:28" x14ac:dyDescent="0.2"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5:28" x14ac:dyDescent="0.2"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5:28" x14ac:dyDescent="0.2"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5:28" x14ac:dyDescent="0.2"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5:28" x14ac:dyDescent="0.2"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5:28" x14ac:dyDescent="0.2"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5:28" x14ac:dyDescent="0.2"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5:28" x14ac:dyDescent="0.2"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5:28" x14ac:dyDescent="0.2"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5:28" x14ac:dyDescent="0.2"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5:28" x14ac:dyDescent="0.2"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5:28" x14ac:dyDescent="0.2"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5:28" x14ac:dyDescent="0.2"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5:28" x14ac:dyDescent="0.2"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5:28" x14ac:dyDescent="0.2"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5:28" x14ac:dyDescent="0.2"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5:28" x14ac:dyDescent="0.2"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5:28" x14ac:dyDescent="0.2"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5:28" x14ac:dyDescent="0.2"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5:28" x14ac:dyDescent="0.2"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5:28" x14ac:dyDescent="0.2"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5:28" x14ac:dyDescent="0.2"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5:28" x14ac:dyDescent="0.2"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5:28" x14ac:dyDescent="0.2"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5:28" x14ac:dyDescent="0.2"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5:28" x14ac:dyDescent="0.2"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5:28" x14ac:dyDescent="0.2"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5:28" x14ac:dyDescent="0.2"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5:28" x14ac:dyDescent="0.2"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5:28" x14ac:dyDescent="0.2"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5:28" x14ac:dyDescent="0.2"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5:28" x14ac:dyDescent="0.2"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5:28" x14ac:dyDescent="0.2"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5:28" x14ac:dyDescent="0.2"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5:28" x14ac:dyDescent="0.2"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5:28" x14ac:dyDescent="0.2"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5:28" x14ac:dyDescent="0.2"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5:28" x14ac:dyDescent="0.2"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5:28" x14ac:dyDescent="0.2"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5:28" x14ac:dyDescent="0.2"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5:28" x14ac:dyDescent="0.2"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5:28" x14ac:dyDescent="0.2"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5:28" x14ac:dyDescent="0.2"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5:28" x14ac:dyDescent="0.2"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5:28" x14ac:dyDescent="0.2"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5:28" x14ac:dyDescent="0.2"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5:28" x14ac:dyDescent="0.2"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5:28" x14ac:dyDescent="0.2"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5:28" x14ac:dyDescent="0.2"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5:28" x14ac:dyDescent="0.2"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5:28" x14ac:dyDescent="0.2"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5:28" x14ac:dyDescent="0.2"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5:28" x14ac:dyDescent="0.2"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5:28" x14ac:dyDescent="0.2"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5:28" x14ac:dyDescent="0.2"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5:28" x14ac:dyDescent="0.2"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5:28" x14ac:dyDescent="0.2"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5:28" x14ac:dyDescent="0.2"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5:28" x14ac:dyDescent="0.2"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5:28" x14ac:dyDescent="0.2"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5:28" x14ac:dyDescent="0.2"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</sheetData>
  <autoFilter ref="B5:AB27" xr:uid="{B4ED87EF-1D92-4F6E-BC13-68784A7D4726}">
    <filterColumn colId="3" showButton="0"/>
    <filterColumn colId="5" showButton="0"/>
    <filterColumn colId="7" showButton="0"/>
    <filterColumn colId="9" showButton="0"/>
    <filterColumn colId="11" showButton="0"/>
    <filterColumn colId="13" showButton="0"/>
    <filterColumn colId="15" showButton="0"/>
    <filterColumn colId="17" showButton="0"/>
    <filterColumn colId="19" showButton="0"/>
    <filterColumn colId="21" showButton="0"/>
    <filterColumn colId="23" showButton="0"/>
    <filterColumn colId="25" showButton="0"/>
    <sortState xmlns:xlrd2="http://schemas.microsoft.com/office/spreadsheetml/2017/richdata2" ref="B6:AB26">
      <sortCondition ref="D5"/>
    </sortState>
  </autoFilter>
  <mergeCells count="51">
    <mergeCell ref="C35:D35"/>
    <mergeCell ref="Q31:R31"/>
    <mergeCell ref="S31:T31"/>
    <mergeCell ref="U31:V31"/>
    <mergeCell ref="W31:X31"/>
    <mergeCell ref="Y31:Z31"/>
    <mergeCell ref="AA31:AB31"/>
    <mergeCell ref="E31:F31"/>
    <mergeCell ref="G31:H31"/>
    <mergeCell ref="I31:J31"/>
    <mergeCell ref="K31:L31"/>
    <mergeCell ref="M31:N31"/>
    <mergeCell ref="O31:P31"/>
    <mergeCell ref="Q29:R29"/>
    <mergeCell ref="S29:T29"/>
    <mergeCell ref="U29:V29"/>
    <mergeCell ref="W29:X29"/>
    <mergeCell ref="Y29:Z29"/>
    <mergeCell ref="AA29:AB29"/>
    <mergeCell ref="E29:F29"/>
    <mergeCell ref="G29:H29"/>
    <mergeCell ref="I29:J29"/>
    <mergeCell ref="K29:L29"/>
    <mergeCell ref="M29:N29"/>
    <mergeCell ref="O29:P29"/>
    <mergeCell ref="Q27:R27"/>
    <mergeCell ref="S27:T27"/>
    <mergeCell ref="U27:V27"/>
    <mergeCell ref="W27:X27"/>
    <mergeCell ref="Y27:Z27"/>
    <mergeCell ref="AA27:AB27"/>
    <mergeCell ref="U5:V5"/>
    <mergeCell ref="W5:X5"/>
    <mergeCell ref="Y5:Z5"/>
    <mergeCell ref="AA5:AB5"/>
    <mergeCell ref="E27:F27"/>
    <mergeCell ref="G27:H27"/>
    <mergeCell ref="I27:J27"/>
    <mergeCell ref="K27:L27"/>
    <mergeCell ref="M27:N27"/>
    <mergeCell ref="O27:P27"/>
    <mergeCell ref="B2:D2"/>
    <mergeCell ref="E2:AB2"/>
    <mergeCell ref="E5:F5"/>
    <mergeCell ref="G5:H5"/>
    <mergeCell ref="I5:J5"/>
    <mergeCell ref="K5:L5"/>
    <mergeCell ref="M5:N5"/>
    <mergeCell ref="O5:P5"/>
    <mergeCell ref="Q5:R5"/>
    <mergeCell ref="S5:T5"/>
  </mergeCells>
  <conditionalFormatting sqref="E6:AB21">
    <cfRule type="cellIs" dxfId="7" priority="8" operator="greaterThan">
      <formula>0</formula>
    </cfRule>
  </conditionalFormatting>
  <conditionalFormatting sqref="E27:AB27">
    <cfRule type="cellIs" dxfId="6" priority="5" operator="greaterThan">
      <formula>1</formula>
    </cfRule>
    <cfRule type="cellIs" dxfId="5" priority="7" operator="equal">
      <formula>120000</formula>
    </cfRule>
  </conditionalFormatting>
  <conditionalFormatting sqref="E26:AB26">
    <cfRule type="cellIs" dxfId="4" priority="6" operator="greaterThan">
      <formula>1</formula>
    </cfRule>
  </conditionalFormatting>
  <conditionalFormatting sqref="E22:AB22">
    <cfRule type="cellIs" dxfId="3" priority="4" operator="greaterThan">
      <formula>0</formula>
    </cfRule>
  </conditionalFormatting>
  <conditionalFormatting sqref="E23:AB23">
    <cfRule type="cellIs" dxfId="2" priority="3" operator="greaterThan">
      <formula>0</formula>
    </cfRule>
  </conditionalFormatting>
  <conditionalFormatting sqref="E24:AB24">
    <cfRule type="cellIs" dxfId="1" priority="2" operator="greaterThan">
      <formula>0</formula>
    </cfRule>
  </conditionalFormatting>
  <conditionalFormatting sqref="E25:AB25">
    <cfRule type="cellIs" dxfId="0" priority="1" operator="greaterThan">
      <formula>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Vanegas</dc:creator>
  <cp:lastModifiedBy>Mauricio Vanegas</cp:lastModifiedBy>
  <dcterms:created xsi:type="dcterms:W3CDTF">2026-07-27T16:10:03Z</dcterms:created>
  <dcterms:modified xsi:type="dcterms:W3CDTF">2026-07-27T16:10:16Z</dcterms:modified>
</cp:coreProperties>
</file>